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oject Ambigu\Alset100_Milestone\"/>
    </mc:Choice>
  </mc:AlternateContent>
  <xr:revisionPtr revIDLastSave="0" documentId="13_ncr:1_{71349134-7064-4576-9A7C-ED6D8FA982F1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BOM" sheetId="1" r:id="rId1"/>
    <sheet name="Note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1" i="1" l="1"/>
</calcChain>
</file>

<file path=xl/sharedStrings.xml><?xml version="1.0" encoding="utf-8"?>
<sst xmlns="http://schemas.openxmlformats.org/spreadsheetml/2006/main" count="421" uniqueCount="255">
  <si>
    <t>BILL OF MATERIALS — Alset 100 / Sun Bandit SBC-25</t>
  </si>
  <si>
    <t>No</t>
  </si>
  <si>
    <t>Category</t>
  </si>
  <si>
    <t>Reference</t>
  </si>
  <si>
    <t>Qty</t>
  </si>
  <si>
    <t>Value / Part</t>
  </si>
  <si>
    <t>Description</t>
  </si>
  <si>
    <t>Package / Footprint</t>
  </si>
  <si>
    <t>MPN / Vendor</t>
  </si>
  <si>
    <t>Status</t>
  </si>
  <si>
    <t>ICs &amp; Semiconductors</t>
  </si>
  <si>
    <t>U5</t>
  </si>
  <si>
    <t>STM32F407VGT6</t>
  </si>
  <si>
    <t>MCU, ARM Cortex-M4, 1MB flash / 192KB RAM</t>
  </si>
  <si>
    <t>LQFP-100 (14x14)</t>
  </si>
  <si>
    <t>ST STM32F407VGT6</t>
  </si>
  <si>
    <t>Final</t>
  </si>
  <si>
    <t>U6</t>
  </si>
  <si>
    <t>24LC256</t>
  </si>
  <si>
    <t>EEPROM, I2C, 256 kbit</t>
  </si>
  <si>
    <t>SOIC-8 (TBD)</t>
  </si>
  <si>
    <t>Microchip 24LC256 / AT24C256</t>
  </si>
  <si>
    <t>U8, U9</t>
  </si>
  <si>
    <t>LM358</t>
  </si>
  <si>
    <t>Dual op-amp (sensor buffer &amp; amplifier)</t>
  </si>
  <si>
    <t>U4</t>
  </si>
  <si>
    <t>AMS1117-3.3</t>
  </si>
  <si>
    <t>LDO regulator, 3.3V</t>
  </si>
  <si>
    <t>SOT-223</t>
  </si>
  <si>
    <t>U10</t>
  </si>
  <si>
    <t>PC817 (placeholder)</t>
  </si>
  <si>
    <t>Gate-drive opto — replace w/ TLP250 / HCPL-3120</t>
  </si>
  <si>
    <t>DIP-4</t>
  </si>
  <si>
    <t>TBD</t>
  </si>
  <si>
    <t>PROVISIONAL</t>
  </si>
  <si>
    <t>U11</t>
  </si>
  <si>
    <t>PV-sense opto — replace w/ IL300 / iso-amp</t>
  </si>
  <si>
    <t>Modules (off-board)</t>
  </si>
  <si>
    <t>U1</t>
  </si>
  <si>
    <t>Mornsun PV15-27B24</t>
  </si>
  <si>
    <t>Isolated DC-DC, control supply 24V / 15W</t>
  </si>
  <si>
    <t>Module</t>
  </si>
  <si>
    <t>U2</t>
  </si>
  <si>
    <t>Buck 24-&gt;12V</t>
  </si>
  <si>
    <t>Buck DC-DC module (placeholder Conn_01x04)</t>
  </si>
  <si>
    <t>U3</t>
  </si>
  <si>
    <t>Buck 12-&gt;5V</t>
  </si>
  <si>
    <t>U7</t>
  </si>
  <si>
    <t>Tuya WB3S</t>
  </si>
  <si>
    <t>Wi-Fi/BLE 2.4GHz module (placeholder Conn_01x06)</t>
  </si>
  <si>
    <t>Castellated (TBD)</t>
  </si>
  <si>
    <t>Transistors</t>
  </si>
  <si>
    <t>Q1, Q2, Q3, Q4</t>
  </si>
  <si>
    <t>NCE0106R</t>
  </si>
  <si>
    <t>N-MOSFET, relay-coil driver (low-side)</t>
  </si>
  <si>
    <t>SOT-23 (TBD)</t>
  </si>
  <si>
    <t>Final / fp TBD</t>
  </si>
  <si>
    <t>Q5</t>
  </si>
  <si>
    <t>MOSFET 650V</t>
  </si>
  <si>
    <t>Power chopper switch (placeholder part)</t>
  </si>
  <si>
    <t>TO-247 (TBD)</t>
  </si>
  <si>
    <t>TBD 650V</t>
  </si>
  <si>
    <t>Relays</t>
  </si>
  <si>
    <t>K1, K2, K3, K4</t>
  </si>
  <si>
    <t>Relay SPST-NO 12V</t>
  </si>
  <si>
    <t>Power relay, transfer switch</t>
  </si>
  <si>
    <t>THT</t>
  </si>
  <si>
    <t>HF165FD-G / Shori S12H (TBD)</t>
  </si>
  <si>
    <t>Final / MPN TBD</t>
  </si>
  <si>
    <t>Crystals</t>
  </si>
  <si>
    <t>Y1</t>
  </si>
  <si>
    <t>8 MHz</t>
  </si>
  <si>
    <t>HSE crystal (main clock)</t>
  </si>
  <si>
    <t>SMD (TBD)</t>
  </si>
  <si>
    <t>Y2</t>
  </si>
  <si>
    <t>32.768 kHz</t>
  </si>
  <si>
    <t>LSE crystal (RTC)</t>
  </si>
  <si>
    <t>Connectors</t>
  </si>
  <si>
    <t>J1</t>
  </si>
  <si>
    <t>Conn 2-pin (WAGO)</t>
  </si>
  <si>
    <t>PV input (push-in)</t>
  </si>
  <si>
    <t>WAGO push-in</t>
  </si>
  <si>
    <t>J7</t>
  </si>
  <si>
    <t>Conn 4-pin (WAGO)</t>
  </si>
  <si>
    <t>Grid AC input — L1/L2/N/G</t>
  </si>
  <si>
    <t>J8</t>
  </si>
  <si>
    <t>Conn 3-pin (WAGO)</t>
  </si>
  <si>
    <t>Output to heating element</t>
  </si>
  <si>
    <t>J4</t>
  </si>
  <si>
    <t>Leak sensor (push-in)</t>
  </si>
  <si>
    <t>J5</t>
  </si>
  <si>
    <t>NTC temperature probe (push-in)</t>
  </si>
  <si>
    <t>J2</t>
  </si>
  <si>
    <t>Header 5-pin</t>
  </si>
  <si>
    <t>SWD port (program/debug)</t>
  </si>
  <si>
    <t>2.54mm</t>
  </si>
  <si>
    <t>J3</t>
  </si>
  <si>
    <t>Header 9-pin</t>
  </si>
  <si>
    <t>TFT display, SPI (ILI9341)</t>
  </si>
  <si>
    <t>FPC/header (TBD)</t>
  </si>
  <si>
    <t>to TFT module</t>
  </si>
  <si>
    <t>J9</t>
  </si>
  <si>
    <t>Header 6-pin</t>
  </si>
  <si>
    <t>Capacitive touch, I2C (FT6336G)</t>
  </si>
  <si>
    <t>to touch module</t>
  </si>
  <si>
    <t>Resistors</t>
  </si>
  <si>
    <t>R1,R2,R5,R6,R8,R17,R19,R20,R22,R24,R26,R28</t>
  </si>
  <si>
    <t>10k</t>
  </si>
  <si>
    <t>Pull-up / pull-down / divider</t>
  </si>
  <si>
    <t>0805 (TBD)</t>
  </si>
  <si>
    <t>-</t>
  </si>
  <si>
    <t>R7,R9,R10,R13,R14,R15,R18</t>
  </si>
  <si>
    <t>1k</t>
  </si>
  <si>
    <t>Series / filter / gain-set</t>
  </si>
  <si>
    <t>R11,R21,R23,R25</t>
  </si>
  <si>
    <t>100R</t>
  </si>
  <si>
    <t>Relay-driver gate resistor</t>
  </si>
  <si>
    <t>R3,R4</t>
  </si>
  <si>
    <t>4.7k</t>
  </si>
  <si>
    <t>I2C bus pull-up</t>
  </si>
  <si>
    <t>R12</t>
  </si>
  <si>
    <t>47k</t>
  </si>
  <si>
    <t>Current-sense gain feedback (Rf)</t>
  </si>
  <si>
    <t>Final / value vs shunt</t>
  </si>
  <si>
    <t>R16</t>
  </si>
  <si>
    <t>1M</t>
  </si>
  <si>
    <t>PV voltage divider (top) — HV</t>
  </si>
  <si>
    <t>1206+ (HV)</t>
  </si>
  <si>
    <t>Final / HV</t>
  </si>
  <si>
    <t>R27</t>
  </si>
  <si>
    <t>330R</t>
  </si>
  <si>
    <t>Gate-drive opto LED resistor</t>
  </si>
  <si>
    <t>R29</t>
  </si>
  <si>
    <t>Output snubber (series w/ C33) — HV</t>
  </si>
  <si>
    <t>2W+ (HV)</t>
  </si>
  <si>
    <t>Final / rating TBD</t>
  </si>
  <si>
    <t>R31</t>
  </si>
  <si>
    <t>5 mR (R005)</t>
  </si>
  <si>
    <t>Current shunt (power path)</t>
  </si>
  <si>
    <t>Power shunt 2W+</t>
  </si>
  <si>
    <t>Final / fp shunt</t>
  </si>
  <si>
    <t>Capacitors</t>
  </si>
  <si>
    <t>C3,C10,C11,C12,C13,C15,C20,C22,C23,C25,C26,C27,C28</t>
  </si>
  <si>
    <t>100nF</t>
  </si>
  <si>
    <t>Decoupling / filtering</t>
  </si>
  <si>
    <t>C29, C30</t>
  </si>
  <si>
    <t>2.2uF</t>
  </si>
  <si>
    <t>F407 VCAP (low-ESR) — MANDATORY</t>
  </si>
  <si>
    <t>0805 X7R</t>
  </si>
  <si>
    <t>C16, C18</t>
  </si>
  <si>
    <t>22pF</t>
  </si>
  <si>
    <t>HSE crystal load cap</t>
  </si>
  <si>
    <t>C17, C19</t>
  </si>
  <si>
    <t>12pF</t>
  </si>
  <si>
    <t>LSE crystal load cap</t>
  </si>
  <si>
    <t>C14</t>
  </si>
  <si>
    <t>1uF</t>
  </si>
  <si>
    <t>VDDA filter</t>
  </si>
  <si>
    <t>C24</t>
  </si>
  <si>
    <t>10nF</t>
  </si>
  <si>
    <t>Leak-sensor input filter</t>
  </si>
  <si>
    <t>C4, C5, C6</t>
  </si>
  <si>
    <t>10uF</t>
  </si>
  <si>
    <t>Buck module input</t>
  </si>
  <si>
    <t>0805/1206 (TBD)</t>
  </si>
  <si>
    <t>C7, C8</t>
  </si>
  <si>
    <t>22uF</t>
  </si>
  <si>
    <t>Buck module output</t>
  </si>
  <si>
    <t>1206 (TBD)</t>
  </si>
  <si>
    <t>C21</t>
  </si>
  <si>
    <t>10uF (elec.)</t>
  </si>
  <si>
    <t>WB3S bulk decoupling</t>
  </si>
  <si>
    <t>SMD elec.</t>
  </si>
  <si>
    <t>C9</t>
  </si>
  <si>
    <t>22uF (elec.)</t>
  </si>
  <si>
    <t>Rail bulk</t>
  </si>
  <si>
    <t>C1</t>
  </si>
  <si>
    <t>~68-100uF / 35V (elec.)</t>
  </si>
  <si>
    <t>Mornsun output bulk</t>
  </si>
  <si>
    <t>SMD/THT elec.</t>
  </si>
  <si>
    <t>Value TBD</t>
  </si>
  <si>
    <t>C2</t>
  </si>
  <si>
    <t>~0.22uF / 50V</t>
  </si>
  <si>
    <t>Mornsun output filter</t>
  </si>
  <si>
    <t>C33</t>
  </si>
  <si>
    <t>100nF (HV)</t>
  </si>
  <si>
    <t>Output snubber (series w/ R29)</t>
  </si>
  <si>
    <t>HV film / X-Y</t>
  </si>
  <si>
    <t>C31, C32</t>
  </si>
  <si>
    <t>500V (elec., uF TBD)</t>
  </si>
  <si>
    <t>Chopper bus capacitor (105C)</t>
  </si>
  <si>
    <t>THT elec. HV</t>
  </si>
  <si>
    <t>Value TBD / HV</t>
  </si>
  <si>
    <t>Diodes</t>
  </si>
  <si>
    <t>D2</t>
  </si>
  <si>
    <t>Bridge rectifier</t>
  </si>
  <si>
    <t>Rectifier / anti-reverse input</t>
  </si>
  <si>
    <t>THT/SMD</t>
  </si>
  <si>
    <t>D1</t>
  </si>
  <si>
    <t>TVS</t>
  </si>
  <si>
    <t>Input transient protection</t>
  </si>
  <si>
    <t>SMB/SMC</t>
  </si>
  <si>
    <t>SMCJ33A (per Mornsun)</t>
  </si>
  <si>
    <t>D3, D4, D5, D6</t>
  </si>
  <si>
    <t>Flyback diode</t>
  </si>
  <si>
    <t>Relay-coil snubber</t>
  </si>
  <si>
    <t>SOD/THT</t>
  </si>
  <si>
    <t>1N4007 / 1N4148 (TBD)</t>
  </si>
  <si>
    <t>D7</t>
  </si>
  <si>
    <t>Freewheel diode (fast, HV)</t>
  </si>
  <si>
    <t>Chopper freewheel</t>
  </si>
  <si>
    <t>TO-220 (TBD)</t>
  </si>
  <si>
    <t>Protection &amp; Misc</t>
  </si>
  <si>
    <t>F1</t>
  </si>
  <si>
    <t>Fuse 2A slow-blow</t>
  </si>
  <si>
    <t>Input protection (per Mornsun)</t>
  </si>
  <si>
    <t>THT holder</t>
  </si>
  <si>
    <t>RV1</t>
  </si>
  <si>
    <t>Varistor 152KD14</t>
  </si>
  <si>
    <t>Input MOV (per Mornsun)</t>
  </si>
  <si>
    <t>RV2</t>
  </si>
  <si>
    <t>Varistor (HV)</t>
  </si>
  <si>
    <t>Output protection MOV</t>
  </si>
  <si>
    <t>TH1</t>
  </si>
  <si>
    <t>NTC 5D-9</t>
  </si>
  <si>
    <t>Inrush thermistor (per Mornsun)</t>
  </si>
  <si>
    <t>FB1</t>
  </si>
  <si>
    <t>Ferrite bead</t>
  </si>
  <si>
    <t>VDDA filter (~600R@100MHz)</t>
  </si>
  <si>
    <t>TOTAL on-board components</t>
  </si>
  <si>
    <t>1. Component status</t>
  </si>
  <si>
    <t>• Final = value &amp; function settled (some footprints/MPNs are assigned during the layout phase).</t>
  </si>
  <si>
    <t>• Value TBD (yellow) = part is present but the final value/rating is not yet calculated (C1, C2, C31/C32 bus caps).</t>
  </si>
  <si>
    <t>2. Off-board / field parts (not counted in the on-board table)</t>
  </si>
  <si>
    <t>• 2-wire floor leak-sensor cord (via J4).</t>
  </si>
  <si>
    <t>• Display module: 3.2" TFT 240x320 ILI9341 + FT6336G capacitive touch (via J3 &amp; J9).</t>
  </si>
  <si>
    <t>3. Not yet in this BOM (added at finalization)</t>
  </si>
  <si>
    <t>• Additional production passives typical of a finished board (bleeders, bus-cap balancing, etc.).</t>
  </si>
  <si>
    <t>4. Engineering corrections already applied</t>
  </si>
  <si>
    <t>• Input bridge redundant with the Mornsun's internal reverse protection (kept as anti-reverse).</t>
  </si>
  <si>
    <t>5. Decisions needed before finalization</t>
  </si>
  <si>
    <t>• Chopper topology (reused vs new) &amp; the isolated gate supply VG+.</t>
  </si>
  <si>
    <t>• Whether the MCU needs to read PV voltage (determines the fate of the PV-sensing block / U11).</t>
  </si>
  <si>
    <t>• PGND vs GND star-point grounding.</t>
  </si>
  <si>
    <t>• Final MPNs for the power relays, the 650V chopper MOSFET, and the production display.</t>
  </si>
  <si>
    <t>Generated from 5 KiCad sheets · on-board components only</t>
  </si>
  <si>
    <t>NOTE: orange rows = PROVISIONAL (placeholder, pending decision); yellow = value/part still TBD.</t>
  </si>
  <si>
    <t>• PROVISIONAL (orange rows) = placeholder, pending a client/finalization decision. Covers: U10 &amp; U11 (PC817 opto stand-ins for gate-drive and linear opto), U2/U3 (buck modules), U7 (WB3S), Q5 (650V chopper MOSFET).</t>
  </si>
  <si>
    <t>• Tuya WB3S Wi-Fi module (U7) &amp; buck modules (U2/U3) - counted as modules in the table.</t>
  </si>
  <si>
    <t>• NTC temperature probe, 5K +/-1% (via J5) - Dave's fixed spec.</t>
  </si>
  <si>
    <t>• EMI filter section (common-mode choke + X/Y capacitors) - not yet designed; a significant block tied to the FCC target.</t>
  </si>
  <si>
    <t>• Isolated gate-drive supply (net VG+) for the chopper - provisional, not yet detailed.</t>
  </si>
  <si>
    <t>• Chopper bus caps rated 500V (not 450V) - 80% derating against the 400V PV Voc.</t>
  </si>
  <si>
    <t>• A '70V shutdown' is not achievable - the Mornsun UVLO is ~100V.</t>
  </si>
  <si>
    <t>BOM Notes — Alset 100 / SBC-25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</si>
</sst>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6"/>
      <color rgb="FF1F3864"/>
      <name val="Times New Roman"/>
      <charset val="1"/>
    </font>
    <font>
      <i/>
      <sz val="11"/>
      <color rgb="FF595959"/>
      <name val="Times New Roman"/>
      <charset val="1"/>
    </font>
    <font>
      <i/>
      <sz val="10"/>
      <color rgb="FFC55A11"/>
      <name val="Times New Roman"/>
      <charset val="1"/>
    </font>
    <font>
      <b/>
      <sz val="11"/>
      <color rgb="FFFFFFFF"/>
      <name val="Times New Roman"/>
      <charset val="1"/>
    </font>
    <font>
      <sz val="11"/>
      <color rgb="FF222222"/>
      <name val="Times New Roman"/>
      <charset val="1"/>
    </font>
    <font>
      <b/>
      <sz val="11"/>
      <name val="Times New Roman"/>
      <charset val="1"/>
    </font>
    <font>
      <b/>
      <sz val="14"/>
      <color rgb="FF1F3864"/>
      <name val="Times New Roman"/>
      <charset val="1"/>
    </font>
    <font>
      <b/>
      <sz val="12"/>
      <color rgb="FF1F3864"/>
      <name val="Times New Roman"/>
      <charset val="1"/>
    </font>
    <font>
      <b/>
      <sz val="12"/>
      <color rgb="FFC55A11"/>
      <name val="Times New Roman"/>
      <charset val="1"/>
    </font>
    <font>
      <b/>
      <sz val="16"/>
      <name val="Times New Roman"/>
      <family val="1"/>
    </font>
    <font>
      <i/>
      <sz val="11"/>
      <color rgb="FF595959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CE4D6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0" fillId="5" borderId="1" xfId="0" applyFill="1" applyBorder="1"/>
    <xf numFmtId="0" fontId="6" fillId="5" borderId="1" xfId="0" applyFont="1" applyFill="1" applyBorder="1" applyAlignment="1">
      <alignment horizontal="right"/>
    </xf>
    <xf numFmtId="0" fontId="6" fillId="5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zoomScaleNormal="100" workbookViewId="0">
      <pane ySplit="5" topLeftCell="A6" activePane="bottomLeft" state="frozen"/>
      <selection pane="bottomLeft" activeCell="A2" sqref="A2:I2"/>
    </sheetView>
  </sheetViews>
  <sheetFormatPr defaultColWidth="8.6328125" defaultRowHeight="14.5" x14ac:dyDescent="0.35"/>
  <cols>
    <col min="1" max="1" width="5" customWidth="1"/>
    <col min="2" max="2" width="22" customWidth="1"/>
    <col min="3" max="3" width="30" customWidth="1"/>
    <col min="4" max="4" width="6" customWidth="1"/>
    <col min="5" max="5" width="24" customWidth="1"/>
    <col min="6" max="6" width="40" customWidth="1"/>
    <col min="7" max="7" width="22" customWidth="1"/>
    <col min="8" max="8" width="26" customWidth="1"/>
    <col min="9" max="9" width="20" customWidth="1"/>
  </cols>
  <sheetData>
    <row r="1" spans="1:9" ht="24" customHeight="1" x14ac:dyDescent="0.35">
      <c r="A1" s="17" t="s">
        <v>0</v>
      </c>
      <c r="B1" s="3"/>
      <c r="C1" s="3"/>
      <c r="D1" s="3"/>
      <c r="E1" s="3"/>
      <c r="F1" s="3"/>
      <c r="G1" s="3"/>
      <c r="H1" s="3"/>
      <c r="I1" s="3"/>
    </row>
    <row r="2" spans="1:9" x14ac:dyDescent="0.35">
      <c r="A2" s="18" t="s">
        <v>245</v>
      </c>
      <c r="B2" s="2"/>
      <c r="C2" s="2"/>
      <c r="D2" s="2"/>
      <c r="E2" s="2"/>
      <c r="F2" s="2"/>
      <c r="G2" s="2"/>
      <c r="H2" s="2"/>
      <c r="I2" s="2"/>
    </row>
    <row r="3" spans="1:9" x14ac:dyDescent="0.35">
      <c r="A3" s="1" t="s">
        <v>246</v>
      </c>
      <c r="B3" s="1"/>
      <c r="C3" s="1"/>
      <c r="D3" s="1"/>
      <c r="E3" s="1"/>
      <c r="F3" s="1"/>
      <c r="G3" s="1"/>
      <c r="H3" s="1"/>
      <c r="I3" s="1"/>
    </row>
    <row r="5" spans="1:9" x14ac:dyDescent="0.35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</row>
    <row r="6" spans="1:9" ht="28" x14ac:dyDescent="0.35">
      <c r="A6" s="5">
        <v>1</v>
      </c>
      <c r="B6" s="6" t="s">
        <v>10</v>
      </c>
      <c r="C6" s="6" t="s">
        <v>11</v>
      </c>
      <c r="D6" s="5">
        <v>1</v>
      </c>
      <c r="E6" s="6" t="s">
        <v>12</v>
      </c>
      <c r="F6" s="6" t="s">
        <v>13</v>
      </c>
      <c r="G6" s="6" t="s">
        <v>14</v>
      </c>
      <c r="H6" s="6" t="s">
        <v>15</v>
      </c>
      <c r="I6" s="6" t="s">
        <v>16</v>
      </c>
    </row>
    <row r="7" spans="1:9" ht="28" x14ac:dyDescent="0.35">
      <c r="A7" s="5">
        <v>2</v>
      </c>
      <c r="B7" s="6" t="s">
        <v>10</v>
      </c>
      <c r="C7" s="6" t="s">
        <v>17</v>
      </c>
      <c r="D7" s="5">
        <v>1</v>
      </c>
      <c r="E7" s="6" t="s">
        <v>18</v>
      </c>
      <c r="F7" s="6" t="s">
        <v>19</v>
      </c>
      <c r="G7" s="6" t="s">
        <v>20</v>
      </c>
      <c r="H7" s="6" t="s">
        <v>21</v>
      </c>
      <c r="I7" s="6" t="s">
        <v>16</v>
      </c>
    </row>
    <row r="8" spans="1:9" x14ac:dyDescent="0.35">
      <c r="A8" s="5">
        <v>3</v>
      </c>
      <c r="B8" s="6" t="s">
        <v>10</v>
      </c>
      <c r="C8" s="6" t="s">
        <v>22</v>
      </c>
      <c r="D8" s="5">
        <v>2</v>
      </c>
      <c r="E8" s="6" t="s">
        <v>23</v>
      </c>
      <c r="F8" s="6" t="s">
        <v>24</v>
      </c>
      <c r="G8" s="6" t="s">
        <v>20</v>
      </c>
      <c r="H8" s="6" t="s">
        <v>23</v>
      </c>
      <c r="I8" s="6" t="s">
        <v>16</v>
      </c>
    </row>
    <row r="9" spans="1:9" x14ac:dyDescent="0.35">
      <c r="A9" s="5">
        <v>4</v>
      </c>
      <c r="B9" s="6" t="s">
        <v>10</v>
      </c>
      <c r="C9" s="6" t="s">
        <v>25</v>
      </c>
      <c r="D9" s="5">
        <v>1</v>
      </c>
      <c r="E9" s="6" t="s">
        <v>26</v>
      </c>
      <c r="F9" s="6" t="s">
        <v>27</v>
      </c>
      <c r="G9" s="6" t="s">
        <v>28</v>
      </c>
      <c r="H9" s="6" t="s">
        <v>26</v>
      </c>
      <c r="I9" s="6" t="s">
        <v>16</v>
      </c>
    </row>
    <row r="10" spans="1:9" ht="28" x14ac:dyDescent="0.35">
      <c r="A10" s="7">
        <v>5</v>
      </c>
      <c r="B10" s="8" t="s">
        <v>10</v>
      </c>
      <c r="C10" s="8" t="s">
        <v>29</v>
      </c>
      <c r="D10" s="7">
        <v>1</v>
      </c>
      <c r="E10" s="8" t="s">
        <v>30</v>
      </c>
      <c r="F10" s="8" t="s">
        <v>31</v>
      </c>
      <c r="G10" s="8" t="s">
        <v>32</v>
      </c>
      <c r="H10" s="8" t="s">
        <v>33</v>
      </c>
      <c r="I10" s="8" t="s">
        <v>34</v>
      </c>
    </row>
    <row r="11" spans="1:9" x14ac:dyDescent="0.35">
      <c r="A11" s="7">
        <v>6</v>
      </c>
      <c r="B11" s="8" t="s">
        <v>10</v>
      </c>
      <c r="C11" s="8" t="s">
        <v>35</v>
      </c>
      <c r="D11" s="7">
        <v>1</v>
      </c>
      <c r="E11" s="8" t="s">
        <v>30</v>
      </c>
      <c r="F11" s="8" t="s">
        <v>36</v>
      </c>
      <c r="G11" s="8" t="s">
        <v>32</v>
      </c>
      <c r="H11" s="8" t="s">
        <v>33</v>
      </c>
      <c r="I11" s="8" t="s">
        <v>34</v>
      </c>
    </row>
    <row r="12" spans="1:9" x14ac:dyDescent="0.35">
      <c r="A12" s="5">
        <v>7</v>
      </c>
      <c r="B12" s="6" t="s">
        <v>37</v>
      </c>
      <c r="C12" s="6" t="s">
        <v>38</v>
      </c>
      <c r="D12" s="5">
        <v>1</v>
      </c>
      <c r="E12" s="6" t="s">
        <v>39</v>
      </c>
      <c r="F12" s="6" t="s">
        <v>40</v>
      </c>
      <c r="G12" s="6" t="s">
        <v>41</v>
      </c>
      <c r="H12" s="6" t="s">
        <v>39</v>
      </c>
      <c r="I12" s="6" t="s">
        <v>16</v>
      </c>
    </row>
    <row r="13" spans="1:9" ht="28" x14ac:dyDescent="0.35">
      <c r="A13" s="7">
        <v>8</v>
      </c>
      <c r="B13" s="8" t="s">
        <v>37</v>
      </c>
      <c r="C13" s="8" t="s">
        <v>42</v>
      </c>
      <c r="D13" s="7">
        <v>1</v>
      </c>
      <c r="E13" s="8" t="s">
        <v>43</v>
      </c>
      <c r="F13" s="8" t="s">
        <v>44</v>
      </c>
      <c r="G13" s="8" t="s">
        <v>41</v>
      </c>
      <c r="H13" s="8" t="s">
        <v>33</v>
      </c>
      <c r="I13" s="8" t="s">
        <v>34</v>
      </c>
    </row>
    <row r="14" spans="1:9" ht="28" x14ac:dyDescent="0.35">
      <c r="A14" s="7">
        <v>9</v>
      </c>
      <c r="B14" s="8" t="s">
        <v>37</v>
      </c>
      <c r="C14" s="8" t="s">
        <v>45</v>
      </c>
      <c r="D14" s="7">
        <v>1</v>
      </c>
      <c r="E14" s="8" t="s">
        <v>46</v>
      </c>
      <c r="F14" s="8" t="s">
        <v>44</v>
      </c>
      <c r="G14" s="8" t="s">
        <v>41</v>
      </c>
      <c r="H14" s="8" t="s">
        <v>33</v>
      </c>
      <c r="I14" s="8" t="s">
        <v>34</v>
      </c>
    </row>
    <row r="15" spans="1:9" ht="28" x14ac:dyDescent="0.35">
      <c r="A15" s="7">
        <v>10</v>
      </c>
      <c r="B15" s="8" t="s">
        <v>37</v>
      </c>
      <c r="C15" s="8" t="s">
        <v>47</v>
      </c>
      <c r="D15" s="7">
        <v>1</v>
      </c>
      <c r="E15" s="8" t="s">
        <v>48</v>
      </c>
      <c r="F15" s="8" t="s">
        <v>49</v>
      </c>
      <c r="G15" s="8" t="s">
        <v>50</v>
      </c>
      <c r="H15" s="8" t="s">
        <v>48</v>
      </c>
      <c r="I15" s="8" t="s">
        <v>34</v>
      </c>
    </row>
    <row r="16" spans="1:9" x14ac:dyDescent="0.35">
      <c r="A16" s="5">
        <v>11</v>
      </c>
      <c r="B16" s="6" t="s">
        <v>51</v>
      </c>
      <c r="C16" s="6" t="s">
        <v>52</v>
      </c>
      <c r="D16" s="5">
        <v>4</v>
      </c>
      <c r="E16" s="6" t="s">
        <v>53</v>
      </c>
      <c r="F16" s="6" t="s">
        <v>54</v>
      </c>
      <c r="G16" s="6" t="s">
        <v>55</v>
      </c>
      <c r="H16" s="6" t="s">
        <v>53</v>
      </c>
      <c r="I16" s="9" t="s">
        <v>56</v>
      </c>
    </row>
    <row r="17" spans="1:9" x14ac:dyDescent="0.35">
      <c r="A17" s="7">
        <v>12</v>
      </c>
      <c r="B17" s="8" t="s">
        <v>51</v>
      </c>
      <c r="C17" s="8" t="s">
        <v>57</v>
      </c>
      <c r="D17" s="7">
        <v>1</v>
      </c>
      <c r="E17" s="8" t="s">
        <v>58</v>
      </c>
      <c r="F17" s="8" t="s">
        <v>59</v>
      </c>
      <c r="G17" s="8" t="s">
        <v>60</v>
      </c>
      <c r="H17" s="8" t="s">
        <v>61</v>
      </c>
      <c r="I17" s="8" t="s">
        <v>34</v>
      </c>
    </row>
    <row r="18" spans="1:9" ht="28" x14ac:dyDescent="0.35">
      <c r="A18" s="5">
        <v>13</v>
      </c>
      <c r="B18" s="6" t="s">
        <v>62</v>
      </c>
      <c r="C18" s="6" t="s">
        <v>63</v>
      </c>
      <c r="D18" s="5">
        <v>4</v>
      </c>
      <c r="E18" s="6" t="s">
        <v>64</v>
      </c>
      <c r="F18" s="6" t="s">
        <v>65</v>
      </c>
      <c r="G18" s="6" t="s">
        <v>66</v>
      </c>
      <c r="H18" s="6" t="s">
        <v>67</v>
      </c>
      <c r="I18" s="9" t="s">
        <v>68</v>
      </c>
    </row>
    <row r="19" spans="1:9" x14ac:dyDescent="0.35">
      <c r="A19" s="5">
        <v>14</v>
      </c>
      <c r="B19" s="6" t="s">
        <v>69</v>
      </c>
      <c r="C19" s="6" t="s">
        <v>70</v>
      </c>
      <c r="D19" s="5">
        <v>1</v>
      </c>
      <c r="E19" s="6" t="s">
        <v>71</v>
      </c>
      <c r="F19" s="6" t="s">
        <v>72</v>
      </c>
      <c r="G19" s="6" t="s">
        <v>73</v>
      </c>
      <c r="H19" s="6" t="s">
        <v>33</v>
      </c>
      <c r="I19" s="6" t="s">
        <v>16</v>
      </c>
    </row>
    <row r="20" spans="1:9" x14ac:dyDescent="0.35">
      <c r="A20" s="5">
        <v>15</v>
      </c>
      <c r="B20" s="6" t="s">
        <v>69</v>
      </c>
      <c r="C20" s="6" t="s">
        <v>74</v>
      </c>
      <c r="D20" s="5">
        <v>1</v>
      </c>
      <c r="E20" s="6" t="s">
        <v>75</v>
      </c>
      <c r="F20" s="6" t="s">
        <v>76</v>
      </c>
      <c r="G20" s="6" t="s">
        <v>73</v>
      </c>
      <c r="H20" s="6" t="s">
        <v>33</v>
      </c>
      <c r="I20" s="6" t="s">
        <v>16</v>
      </c>
    </row>
    <row r="21" spans="1:9" x14ac:dyDescent="0.35">
      <c r="A21" s="5">
        <v>16</v>
      </c>
      <c r="B21" s="6" t="s">
        <v>77</v>
      </c>
      <c r="C21" s="6" t="s">
        <v>78</v>
      </c>
      <c r="D21" s="5">
        <v>1</v>
      </c>
      <c r="E21" s="6" t="s">
        <v>79</v>
      </c>
      <c r="F21" s="6" t="s">
        <v>80</v>
      </c>
      <c r="G21" s="6" t="s">
        <v>81</v>
      </c>
      <c r="H21" s="6" t="s">
        <v>33</v>
      </c>
      <c r="I21" s="6" t="s">
        <v>16</v>
      </c>
    </row>
    <row r="22" spans="1:9" x14ac:dyDescent="0.35">
      <c r="A22" s="5">
        <v>17</v>
      </c>
      <c r="B22" s="6" t="s">
        <v>77</v>
      </c>
      <c r="C22" s="6" t="s">
        <v>82</v>
      </c>
      <c r="D22" s="5">
        <v>1</v>
      </c>
      <c r="E22" s="6" t="s">
        <v>83</v>
      </c>
      <c r="F22" s="6" t="s">
        <v>84</v>
      </c>
      <c r="G22" s="6" t="s">
        <v>81</v>
      </c>
      <c r="H22" s="6" t="s">
        <v>33</v>
      </c>
      <c r="I22" s="6" t="s">
        <v>16</v>
      </c>
    </row>
    <row r="23" spans="1:9" x14ac:dyDescent="0.35">
      <c r="A23" s="5">
        <v>18</v>
      </c>
      <c r="B23" s="6" t="s">
        <v>77</v>
      </c>
      <c r="C23" s="6" t="s">
        <v>85</v>
      </c>
      <c r="D23" s="5">
        <v>1</v>
      </c>
      <c r="E23" s="6" t="s">
        <v>86</v>
      </c>
      <c r="F23" s="6" t="s">
        <v>87</v>
      </c>
      <c r="G23" s="6" t="s">
        <v>81</v>
      </c>
      <c r="H23" s="6" t="s">
        <v>33</v>
      </c>
      <c r="I23" s="6" t="s">
        <v>16</v>
      </c>
    </row>
    <row r="24" spans="1:9" x14ac:dyDescent="0.35">
      <c r="A24" s="5">
        <v>19</v>
      </c>
      <c r="B24" s="6" t="s">
        <v>77</v>
      </c>
      <c r="C24" s="6" t="s">
        <v>88</v>
      </c>
      <c r="D24" s="5">
        <v>1</v>
      </c>
      <c r="E24" s="6" t="s">
        <v>79</v>
      </c>
      <c r="F24" s="6" t="s">
        <v>89</v>
      </c>
      <c r="G24" s="6" t="s">
        <v>81</v>
      </c>
      <c r="H24" s="6" t="s">
        <v>33</v>
      </c>
      <c r="I24" s="6" t="s">
        <v>16</v>
      </c>
    </row>
    <row r="25" spans="1:9" x14ac:dyDescent="0.35">
      <c r="A25" s="5">
        <v>20</v>
      </c>
      <c r="B25" s="6" t="s">
        <v>77</v>
      </c>
      <c r="C25" s="6" t="s">
        <v>90</v>
      </c>
      <c r="D25" s="5">
        <v>1</v>
      </c>
      <c r="E25" s="6" t="s">
        <v>79</v>
      </c>
      <c r="F25" s="6" t="s">
        <v>91</v>
      </c>
      <c r="G25" s="6" t="s">
        <v>81</v>
      </c>
      <c r="H25" s="6" t="s">
        <v>33</v>
      </c>
      <c r="I25" s="6" t="s">
        <v>16</v>
      </c>
    </row>
    <row r="26" spans="1:9" x14ac:dyDescent="0.35">
      <c r="A26" s="5">
        <v>21</v>
      </c>
      <c r="B26" s="6" t="s">
        <v>77</v>
      </c>
      <c r="C26" s="6" t="s">
        <v>92</v>
      </c>
      <c r="D26" s="5">
        <v>1</v>
      </c>
      <c r="E26" s="6" t="s">
        <v>93</v>
      </c>
      <c r="F26" s="6" t="s">
        <v>94</v>
      </c>
      <c r="G26" s="6" t="s">
        <v>95</v>
      </c>
      <c r="H26" s="6" t="s">
        <v>33</v>
      </c>
      <c r="I26" s="6" t="s">
        <v>16</v>
      </c>
    </row>
    <row r="27" spans="1:9" x14ac:dyDescent="0.35">
      <c r="A27" s="5">
        <v>22</v>
      </c>
      <c r="B27" s="6" t="s">
        <v>77</v>
      </c>
      <c r="C27" s="6" t="s">
        <v>96</v>
      </c>
      <c r="D27" s="5">
        <v>1</v>
      </c>
      <c r="E27" s="6" t="s">
        <v>97</v>
      </c>
      <c r="F27" s="6" t="s">
        <v>98</v>
      </c>
      <c r="G27" s="6" t="s">
        <v>99</v>
      </c>
      <c r="H27" s="6" t="s">
        <v>100</v>
      </c>
      <c r="I27" s="6" t="s">
        <v>16</v>
      </c>
    </row>
    <row r="28" spans="1:9" x14ac:dyDescent="0.35">
      <c r="A28" s="5">
        <v>23</v>
      </c>
      <c r="B28" s="6" t="s">
        <v>77</v>
      </c>
      <c r="C28" s="6" t="s">
        <v>101</v>
      </c>
      <c r="D28" s="5">
        <v>1</v>
      </c>
      <c r="E28" s="6" t="s">
        <v>102</v>
      </c>
      <c r="F28" s="6" t="s">
        <v>103</v>
      </c>
      <c r="G28" s="6" t="s">
        <v>99</v>
      </c>
      <c r="H28" s="6" t="s">
        <v>104</v>
      </c>
      <c r="I28" s="6" t="s">
        <v>16</v>
      </c>
    </row>
    <row r="29" spans="1:9" ht="28" x14ac:dyDescent="0.35">
      <c r="A29" s="5">
        <v>24</v>
      </c>
      <c r="B29" s="6" t="s">
        <v>105</v>
      </c>
      <c r="C29" s="6" t="s">
        <v>106</v>
      </c>
      <c r="D29" s="5">
        <v>12</v>
      </c>
      <c r="E29" s="6" t="s">
        <v>107</v>
      </c>
      <c r="F29" s="6" t="s">
        <v>108</v>
      </c>
      <c r="G29" s="6" t="s">
        <v>109</v>
      </c>
      <c r="H29" s="6" t="s">
        <v>110</v>
      </c>
      <c r="I29" s="6" t="s">
        <v>16</v>
      </c>
    </row>
    <row r="30" spans="1:9" x14ac:dyDescent="0.35">
      <c r="A30" s="5">
        <v>25</v>
      </c>
      <c r="B30" s="6" t="s">
        <v>105</v>
      </c>
      <c r="C30" s="6" t="s">
        <v>111</v>
      </c>
      <c r="D30" s="5">
        <v>7</v>
      </c>
      <c r="E30" s="6" t="s">
        <v>112</v>
      </c>
      <c r="F30" s="6" t="s">
        <v>113</v>
      </c>
      <c r="G30" s="6" t="s">
        <v>109</v>
      </c>
      <c r="H30" s="6" t="s">
        <v>110</v>
      </c>
      <c r="I30" s="6" t="s">
        <v>16</v>
      </c>
    </row>
    <row r="31" spans="1:9" x14ac:dyDescent="0.35">
      <c r="A31" s="5">
        <v>26</v>
      </c>
      <c r="B31" s="6" t="s">
        <v>105</v>
      </c>
      <c r="C31" s="6" t="s">
        <v>114</v>
      </c>
      <c r="D31" s="5">
        <v>4</v>
      </c>
      <c r="E31" s="6" t="s">
        <v>115</v>
      </c>
      <c r="F31" s="6" t="s">
        <v>116</v>
      </c>
      <c r="G31" s="6" t="s">
        <v>109</v>
      </c>
      <c r="H31" s="6" t="s">
        <v>110</v>
      </c>
      <c r="I31" s="6" t="s">
        <v>16</v>
      </c>
    </row>
    <row r="32" spans="1:9" x14ac:dyDescent="0.35">
      <c r="A32" s="5">
        <v>27</v>
      </c>
      <c r="B32" s="6" t="s">
        <v>105</v>
      </c>
      <c r="C32" s="6" t="s">
        <v>117</v>
      </c>
      <c r="D32" s="5">
        <v>2</v>
      </c>
      <c r="E32" s="6" t="s">
        <v>118</v>
      </c>
      <c r="F32" s="6" t="s">
        <v>119</v>
      </c>
      <c r="G32" s="6" t="s">
        <v>109</v>
      </c>
      <c r="H32" s="6" t="s">
        <v>110</v>
      </c>
      <c r="I32" s="6" t="s">
        <v>16</v>
      </c>
    </row>
    <row r="33" spans="1:9" x14ac:dyDescent="0.35">
      <c r="A33" s="5">
        <v>28</v>
      </c>
      <c r="B33" s="6" t="s">
        <v>105</v>
      </c>
      <c r="C33" s="6" t="s">
        <v>120</v>
      </c>
      <c r="D33" s="5">
        <v>1</v>
      </c>
      <c r="E33" s="6" t="s">
        <v>121</v>
      </c>
      <c r="F33" s="6" t="s">
        <v>122</v>
      </c>
      <c r="G33" s="6" t="s">
        <v>109</v>
      </c>
      <c r="H33" s="6" t="s">
        <v>110</v>
      </c>
      <c r="I33" s="6" t="s">
        <v>123</v>
      </c>
    </row>
    <row r="34" spans="1:9" x14ac:dyDescent="0.35">
      <c r="A34" s="5">
        <v>29</v>
      </c>
      <c r="B34" s="6" t="s">
        <v>105</v>
      </c>
      <c r="C34" s="6" t="s">
        <v>124</v>
      </c>
      <c r="D34" s="5">
        <v>1</v>
      </c>
      <c r="E34" s="6" t="s">
        <v>125</v>
      </c>
      <c r="F34" s="6" t="s">
        <v>126</v>
      </c>
      <c r="G34" s="6" t="s">
        <v>127</v>
      </c>
      <c r="H34" s="6" t="s">
        <v>110</v>
      </c>
      <c r="I34" s="6" t="s">
        <v>128</v>
      </c>
    </row>
    <row r="35" spans="1:9" x14ac:dyDescent="0.35">
      <c r="A35" s="5">
        <v>30</v>
      </c>
      <c r="B35" s="6" t="s">
        <v>105</v>
      </c>
      <c r="C35" s="6" t="s">
        <v>129</v>
      </c>
      <c r="D35" s="5">
        <v>1</v>
      </c>
      <c r="E35" s="6" t="s">
        <v>130</v>
      </c>
      <c r="F35" s="6" t="s">
        <v>131</v>
      </c>
      <c r="G35" s="6" t="s">
        <v>109</v>
      </c>
      <c r="H35" s="6" t="s">
        <v>110</v>
      </c>
      <c r="I35" s="6" t="s">
        <v>16</v>
      </c>
    </row>
    <row r="36" spans="1:9" x14ac:dyDescent="0.35">
      <c r="A36" s="5">
        <v>31</v>
      </c>
      <c r="B36" s="6" t="s">
        <v>105</v>
      </c>
      <c r="C36" s="6" t="s">
        <v>132</v>
      </c>
      <c r="D36" s="5">
        <v>1</v>
      </c>
      <c r="E36" s="6" t="s">
        <v>115</v>
      </c>
      <c r="F36" s="6" t="s">
        <v>133</v>
      </c>
      <c r="G36" s="6" t="s">
        <v>134</v>
      </c>
      <c r="H36" s="6" t="s">
        <v>110</v>
      </c>
      <c r="I36" s="9" t="s">
        <v>135</v>
      </c>
    </row>
    <row r="37" spans="1:9" x14ac:dyDescent="0.35">
      <c r="A37" s="5">
        <v>32</v>
      </c>
      <c r="B37" s="6" t="s">
        <v>105</v>
      </c>
      <c r="C37" s="6" t="s">
        <v>136</v>
      </c>
      <c r="D37" s="5">
        <v>1</v>
      </c>
      <c r="E37" s="6" t="s">
        <v>137</v>
      </c>
      <c r="F37" s="6" t="s">
        <v>138</v>
      </c>
      <c r="G37" s="6" t="s">
        <v>139</v>
      </c>
      <c r="H37" s="6" t="s">
        <v>33</v>
      </c>
      <c r="I37" s="6" t="s">
        <v>140</v>
      </c>
    </row>
    <row r="38" spans="1:9" ht="28" x14ac:dyDescent="0.35">
      <c r="A38" s="5">
        <v>33</v>
      </c>
      <c r="B38" s="6" t="s">
        <v>141</v>
      </c>
      <c r="C38" s="6" t="s">
        <v>142</v>
      </c>
      <c r="D38" s="5">
        <v>13</v>
      </c>
      <c r="E38" s="6" t="s">
        <v>143</v>
      </c>
      <c r="F38" s="6" t="s">
        <v>144</v>
      </c>
      <c r="G38" s="6" t="s">
        <v>109</v>
      </c>
      <c r="H38" s="6" t="s">
        <v>110</v>
      </c>
      <c r="I38" s="6" t="s">
        <v>16</v>
      </c>
    </row>
    <row r="39" spans="1:9" x14ac:dyDescent="0.35">
      <c r="A39" s="5">
        <v>34</v>
      </c>
      <c r="B39" s="6" t="s">
        <v>141</v>
      </c>
      <c r="C39" s="6" t="s">
        <v>145</v>
      </c>
      <c r="D39" s="5">
        <v>2</v>
      </c>
      <c r="E39" s="6" t="s">
        <v>146</v>
      </c>
      <c r="F39" s="6" t="s">
        <v>147</v>
      </c>
      <c r="G39" s="6" t="s">
        <v>148</v>
      </c>
      <c r="H39" s="6" t="s">
        <v>110</v>
      </c>
      <c r="I39" s="6" t="s">
        <v>16</v>
      </c>
    </row>
    <row r="40" spans="1:9" x14ac:dyDescent="0.35">
      <c r="A40" s="5">
        <v>35</v>
      </c>
      <c r="B40" s="6" t="s">
        <v>141</v>
      </c>
      <c r="C40" s="6" t="s">
        <v>149</v>
      </c>
      <c r="D40" s="5">
        <v>2</v>
      </c>
      <c r="E40" s="6" t="s">
        <v>150</v>
      </c>
      <c r="F40" s="6" t="s">
        <v>151</v>
      </c>
      <c r="G40" s="6" t="s">
        <v>109</v>
      </c>
      <c r="H40" s="6" t="s">
        <v>110</v>
      </c>
      <c r="I40" s="6" t="s">
        <v>16</v>
      </c>
    </row>
    <row r="41" spans="1:9" x14ac:dyDescent="0.35">
      <c r="A41" s="5">
        <v>36</v>
      </c>
      <c r="B41" s="6" t="s">
        <v>141</v>
      </c>
      <c r="C41" s="6" t="s">
        <v>152</v>
      </c>
      <c r="D41" s="5">
        <v>2</v>
      </c>
      <c r="E41" s="6" t="s">
        <v>153</v>
      </c>
      <c r="F41" s="6" t="s">
        <v>154</v>
      </c>
      <c r="G41" s="6" t="s">
        <v>109</v>
      </c>
      <c r="H41" s="6" t="s">
        <v>110</v>
      </c>
      <c r="I41" s="6" t="s">
        <v>16</v>
      </c>
    </row>
    <row r="42" spans="1:9" x14ac:dyDescent="0.35">
      <c r="A42" s="5">
        <v>37</v>
      </c>
      <c r="B42" s="6" t="s">
        <v>141</v>
      </c>
      <c r="C42" s="6" t="s">
        <v>155</v>
      </c>
      <c r="D42" s="5">
        <v>1</v>
      </c>
      <c r="E42" s="6" t="s">
        <v>156</v>
      </c>
      <c r="F42" s="6" t="s">
        <v>157</v>
      </c>
      <c r="G42" s="6" t="s">
        <v>109</v>
      </c>
      <c r="H42" s="6" t="s">
        <v>110</v>
      </c>
      <c r="I42" s="6" t="s">
        <v>16</v>
      </c>
    </row>
    <row r="43" spans="1:9" x14ac:dyDescent="0.35">
      <c r="A43" s="5">
        <v>38</v>
      </c>
      <c r="B43" s="6" t="s">
        <v>141</v>
      </c>
      <c r="C43" s="6" t="s">
        <v>158</v>
      </c>
      <c r="D43" s="5">
        <v>1</v>
      </c>
      <c r="E43" s="6" t="s">
        <v>159</v>
      </c>
      <c r="F43" s="6" t="s">
        <v>160</v>
      </c>
      <c r="G43" s="6" t="s">
        <v>109</v>
      </c>
      <c r="H43" s="6" t="s">
        <v>110</v>
      </c>
      <c r="I43" s="6" t="s">
        <v>16</v>
      </c>
    </row>
    <row r="44" spans="1:9" x14ac:dyDescent="0.35">
      <c r="A44" s="5">
        <v>39</v>
      </c>
      <c r="B44" s="6" t="s">
        <v>141</v>
      </c>
      <c r="C44" s="6" t="s">
        <v>161</v>
      </c>
      <c r="D44" s="5">
        <v>3</v>
      </c>
      <c r="E44" s="6" t="s">
        <v>162</v>
      </c>
      <c r="F44" s="6" t="s">
        <v>163</v>
      </c>
      <c r="G44" s="6" t="s">
        <v>164</v>
      </c>
      <c r="H44" s="6" t="s">
        <v>110</v>
      </c>
      <c r="I44" s="6" t="s">
        <v>16</v>
      </c>
    </row>
    <row r="45" spans="1:9" x14ac:dyDescent="0.35">
      <c r="A45" s="5">
        <v>40</v>
      </c>
      <c r="B45" s="6" t="s">
        <v>141</v>
      </c>
      <c r="C45" s="6" t="s">
        <v>165</v>
      </c>
      <c r="D45" s="5">
        <v>2</v>
      </c>
      <c r="E45" s="6" t="s">
        <v>166</v>
      </c>
      <c r="F45" s="6" t="s">
        <v>167</v>
      </c>
      <c r="G45" s="6" t="s">
        <v>168</v>
      </c>
      <c r="H45" s="6" t="s">
        <v>110</v>
      </c>
      <c r="I45" s="6" t="s">
        <v>16</v>
      </c>
    </row>
    <row r="46" spans="1:9" x14ac:dyDescent="0.35">
      <c r="A46" s="5">
        <v>41</v>
      </c>
      <c r="B46" s="6" t="s">
        <v>141</v>
      </c>
      <c r="C46" s="6" t="s">
        <v>169</v>
      </c>
      <c r="D46" s="5">
        <v>1</v>
      </c>
      <c r="E46" s="6" t="s">
        <v>170</v>
      </c>
      <c r="F46" s="6" t="s">
        <v>171</v>
      </c>
      <c r="G46" s="6" t="s">
        <v>172</v>
      </c>
      <c r="H46" s="6" t="s">
        <v>110</v>
      </c>
      <c r="I46" s="6" t="s">
        <v>16</v>
      </c>
    </row>
    <row r="47" spans="1:9" x14ac:dyDescent="0.35">
      <c r="A47" s="5">
        <v>42</v>
      </c>
      <c r="B47" s="6" t="s">
        <v>141</v>
      </c>
      <c r="C47" s="6" t="s">
        <v>173</v>
      </c>
      <c r="D47" s="5">
        <v>1</v>
      </c>
      <c r="E47" s="6" t="s">
        <v>174</v>
      </c>
      <c r="F47" s="6" t="s">
        <v>175</v>
      </c>
      <c r="G47" s="6" t="s">
        <v>172</v>
      </c>
      <c r="H47" s="6" t="s">
        <v>110</v>
      </c>
      <c r="I47" s="6" t="s">
        <v>16</v>
      </c>
    </row>
    <row r="48" spans="1:9" x14ac:dyDescent="0.35">
      <c r="A48" s="5">
        <v>43</v>
      </c>
      <c r="B48" s="6" t="s">
        <v>141</v>
      </c>
      <c r="C48" s="6" t="s">
        <v>176</v>
      </c>
      <c r="D48" s="5">
        <v>1</v>
      </c>
      <c r="E48" s="6" t="s">
        <v>177</v>
      </c>
      <c r="F48" s="6" t="s">
        <v>178</v>
      </c>
      <c r="G48" s="6" t="s">
        <v>179</v>
      </c>
      <c r="H48" s="6" t="s">
        <v>33</v>
      </c>
      <c r="I48" s="9" t="s">
        <v>180</v>
      </c>
    </row>
    <row r="49" spans="1:9" x14ac:dyDescent="0.35">
      <c r="A49" s="5">
        <v>44</v>
      </c>
      <c r="B49" s="6" t="s">
        <v>141</v>
      </c>
      <c r="C49" s="6" t="s">
        <v>181</v>
      </c>
      <c r="D49" s="5">
        <v>1</v>
      </c>
      <c r="E49" s="6" t="s">
        <v>182</v>
      </c>
      <c r="F49" s="6" t="s">
        <v>183</v>
      </c>
      <c r="G49" s="6" t="s">
        <v>109</v>
      </c>
      <c r="H49" s="6" t="s">
        <v>33</v>
      </c>
      <c r="I49" s="9" t="s">
        <v>180</v>
      </c>
    </row>
    <row r="50" spans="1:9" x14ac:dyDescent="0.35">
      <c r="A50" s="5">
        <v>45</v>
      </c>
      <c r="B50" s="6" t="s">
        <v>141</v>
      </c>
      <c r="C50" s="6" t="s">
        <v>184</v>
      </c>
      <c r="D50" s="5">
        <v>1</v>
      </c>
      <c r="E50" s="6" t="s">
        <v>185</v>
      </c>
      <c r="F50" s="6" t="s">
        <v>186</v>
      </c>
      <c r="G50" s="6" t="s">
        <v>187</v>
      </c>
      <c r="H50" s="6" t="s">
        <v>33</v>
      </c>
      <c r="I50" s="6" t="s">
        <v>128</v>
      </c>
    </row>
    <row r="51" spans="1:9" x14ac:dyDescent="0.35">
      <c r="A51" s="5">
        <v>46</v>
      </c>
      <c r="B51" s="6" t="s">
        <v>141</v>
      </c>
      <c r="C51" s="6" t="s">
        <v>188</v>
      </c>
      <c r="D51" s="5">
        <v>2</v>
      </c>
      <c r="E51" s="6" t="s">
        <v>189</v>
      </c>
      <c r="F51" s="6" t="s">
        <v>190</v>
      </c>
      <c r="G51" s="6" t="s">
        <v>191</v>
      </c>
      <c r="H51" s="6" t="s">
        <v>33</v>
      </c>
      <c r="I51" s="9" t="s">
        <v>192</v>
      </c>
    </row>
    <row r="52" spans="1:9" x14ac:dyDescent="0.35">
      <c r="A52" s="5">
        <v>47</v>
      </c>
      <c r="B52" s="6" t="s">
        <v>193</v>
      </c>
      <c r="C52" s="6" t="s">
        <v>194</v>
      </c>
      <c r="D52" s="5">
        <v>1</v>
      </c>
      <c r="E52" s="6" t="s">
        <v>195</v>
      </c>
      <c r="F52" s="6" t="s">
        <v>196</v>
      </c>
      <c r="G52" s="6" t="s">
        <v>197</v>
      </c>
      <c r="H52" s="6" t="s">
        <v>33</v>
      </c>
      <c r="I52" s="6" t="s">
        <v>16</v>
      </c>
    </row>
    <row r="53" spans="1:9" x14ac:dyDescent="0.35">
      <c r="A53" s="5">
        <v>48</v>
      </c>
      <c r="B53" s="6" t="s">
        <v>193</v>
      </c>
      <c r="C53" s="6" t="s">
        <v>198</v>
      </c>
      <c r="D53" s="5">
        <v>1</v>
      </c>
      <c r="E53" s="6" t="s">
        <v>199</v>
      </c>
      <c r="F53" s="6" t="s">
        <v>200</v>
      </c>
      <c r="G53" s="6" t="s">
        <v>201</v>
      </c>
      <c r="H53" s="6" t="s">
        <v>202</v>
      </c>
      <c r="I53" s="6" t="s">
        <v>16</v>
      </c>
    </row>
    <row r="54" spans="1:9" x14ac:dyDescent="0.35">
      <c r="A54" s="5">
        <v>49</v>
      </c>
      <c r="B54" s="6" t="s">
        <v>193</v>
      </c>
      <c r="C54" s="6" t="s">
        <v>203</v>
      </c>
      <c r="D54" s="5">
        <v>4</v>
      </c>
      <c r="E54" s="6" t="s">
        <v>204</v>
      </c>
      <c r="F54" s="6" t="s">
        <v>205</v>
      </c>
      <c r="G54" s="6" t="s">
        <v>206</v>
      </c>
      <c r="H54" s="6" t="s">
        <v>207</v>
      </c>
      <c r="I54" s="6" t="s">
        <v>16</v>
      </c>
    </row>
    <row r="55" spans="1:9" x14ac:dyDescent="0.35">
      <c r="A55" s="5">
        <v>50</v>
      </c>
      <c r="B55" s="6" t="s">
        <v>193</v>
      </c>
      <c r="C55" s="6" t="s">
        <v>208</v>
      </c>
      <c r="D55" s="5">
        <v>1</v>
      </c>
      <c r="E55" s="6" t="s">
        <v>209</v>
      </c>
      <c r="F55" s="6" t="s">
        <v>210</v>
      </c>
      <c r="G55" s="6" t="s">
        <v>211</v>
      </c>
      <c r="H55" s="6" t="s">
        <v>33</v>
      </c>
      <c r="I55" s="6" t="s">
        <v>128</v>
      </c>
    </row>
    <row r="56" spans="1:9" x14ac:dyDescent="0.35">
      <c r="A56" s="5">
        <v>51</v>
      </c>
      <c r="B56" s="6" t="s">
        <v>212</v>
      </c>
      <c r="C56" s="6" t="s">
        <v>213</v>
      </c>
      <c r="D56" s="5">
        <v>1</v>
      </c>
      <c r="E56" s="6" t="s">
        <v>214</v>
      </c>
      <c r="F56" s="6" t="s">
        <v>215</v>
      </c>
      <c r="G56" s="6" t="s">
        <v>216</v>
      </c>
      <c r="H56" s="6" t="s">
        <v>33</v>
      </c>
      <c r="I56" s="6" t="s">
        <v>16</v>
      </c>
    </row>
    <row r="57" spans="1:9" x14ac:dyDescent="0.35">
      <c r="A57" s="5">
        <v>52</v>
      </c>
      <c r="B57" s="6" t="s">
        <v>212</v>
      </c>
      <c r="C57" s="6" t="s">
        <v>217</v>
      </c>
      <c r="D57" s="5">
        <v>1</v>
      </c>
      <c r="E57" s="6" t="s">
        <v>218</v>
      </c>
      <c r="F57" s="6" t="s">
        <v>219</v>
      </c>
      <c r="G57" s="6" t="s">
        <v>66</v>
      </c>
      <c r="H57" s="6" t="s">
        <v>33</v>
      </c>
      <c r="I57" s="6" t="s">
        <v>16</v>
      </c>
    </row>
    <row r="58" spans="1:9" x14ac:dyDescent="0.35">
      <c r="A58" s="5">
        <v>53</v>
      </c>
      <c r="B58" s="6" t="s">
        <v>212</v>
      </c>
      <c r="C58" s="6" t="s">
        <v>220</v>
      </c>
      <c r="D58" s="5">
        <v>1</v>
      </c>
      <c r="E58" s="6" t="s">
        <v>221</v>
      </c>
      <c r="F58" s="6" t="s">
        <v>222</v>
      </c>
      <c r="G58" s="6" t="s">
        <v>66</v>
      </c>
      <c r="H58" s="6" t="s">
        <v>33</v>
      </c>
      <c r="I58" s="9" t="s">
        <v>135</v>
      </c>
    </row>
    <row r="59" spans="1:9" x14ac:dyDescent="0.35">
      <c r="A59" s="5">
        <v>54</v>
      </c>
      <c r="B59" s="6" t="s">
        <v>212</v>
      </c>
      <c r="C59" s="6" t="s">
        <v>223</v>
      </c>
      <c r="D59" s="5">
        <v>1</v>
      </c>
      <c r="E59" s="6" t="s">
        <v>224</v>
      </c>
      <c r="F59" s="6" t="s">
        <v>225</v>
      </c>
      <c r="G59" s="6" t="s">
        <v>66</v>
      </c>
      <c r="H59" s="6" t="s">
        <v>33</v>
      </c>
      <c r="I59" s="6" t="s">
        <v>16</v>
      </c>
    </row>
    <row r="60" spans="1:9" x14ac:dyDescent="0.35">
      <c r="A60" s="5">
        <v>55</v>
      </c>
      <c r="B60" s="6" t="s">
        <v>212</v>
      </c>
      <c r="C60" s="6" t="s">
        <v>226</v>
      </c>
      <c r="D60" s="5">
        <v>1</v>
      </c>
      <c r="E60" s="6" t="s">
        <v>227</v>
      </c>
      <c r="F60" s="6" t="s">
        <v>228</v>
      </c>
      <c r="G60" s="6" t="s">
        <v>109</v>
      </c>
      <c r="H60" s="6" t="s">
        <v>110</v>
      </c>
      <c r="I60" s="6" t="s">
        <v>16</v>
      </c>
    </row>
    <row r="61" spans="1:9" x14ac:dyDescent="0.35">
      <c r="A61" s="10"/>
      <c r="B61" s="10"/>
      <c r="C61" s="11" t="s">
        <v>229</v>
      </c>
      <c r="D61" s="12">
        <f>SUM(D6:D60)</f>
        <v>105</v>
      </c>
      <c r="E61" s="10"/>
      <c r="F61" s="10"/>
      <c r="G61" s="10"/>
      <c r="H61" s="10"/>
      <c r="I61" s="10"/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29"/>
  <sheetViews>
    <sheetView zoomScaleNormal="100" workbookViewId="0">
      <selection activeCell="B4" sqref="B4"/>
    </sheetView>
  </sheetViews>
  <sheetFormatPr defaultColWidth="8.6328125" defaultRowHeight="14.5" x14ac:dyDescent="0.35"/>
  <cols>
    <col min="1" max="1" width="3" customWidth="1"/>
    <col min="2" max="2" width="104" customWidth="1"/>
  </cols>
  <sheetData>
    <row r="2" spans="2:2" ht="17.5" x14ac:dyDescent="0.35">
      <c r="B2" s="13" t="s">
        <v>254</v>
      </c>
    </row>
    <row r="4" spans="2:2" ht="15" x14ac:dyDescent="0.35">
      <c r="B4" s="14" t="s">
        <v>230</v>
      </c>
    </row>
    <row r="5" spans="2:2" x14ac:dyDescent="0.35">
      <c r="B5" s="15" t="s">
        <v>231</v>
      </c>
    </row>
    <row r="6" spans="2:2" ht="28" x14ac:dyDescent="0.35">
      <c r="B6" s="15" t="s">
        <v>247</v>
      </c>
    </row>
    <row r="7" spans="2:2" x14ac:dyDescent="0.35">
      <c r="B7" s="15" t="s">
        <v>232</v>
      </c>
    </row>
    <row r="9" spans="2:2" ht="15" x14ac:dyDescent="0.35">
      <c r="B9" s="14" t="s">
        <v>233</v>
      </c>
    </row>
    <row r="10" spans="2:2" x14ac:dyDescent="0.35">
      <c r="B10" s="15" t="s">
        <v>249</v>
      </c>
    </row>
    <row r="11" spans="2:2" x14ac:dyDescent="0.35">
      <c r="B11" s="15" t="s">
        <v>234</v>
      </c>
    </row>
    <row r="12" spans="2:2" x14ac:dyDescent="0.35">
      <c r="B12" s="15" t="s">
        <v>235</v>
      </c>
    </row>
    <row r="13" spans="2:2" x14ac:dyDescent="0.35">
      <c r="B13" s="15" t="s">
        <v>248</v>
      </c>
    </row>
    <row r="15" spans="2:2" ht="15" x14ac:dyDescent="0.35">
      <c r="B15" s="14" t="s">
        <v>236</v>
      </c>
    </row>
    <row r="16" spans="2:2" x14ac:dyDescent="0.35">
      <c r="B16" s="15" t="s">
        <v>250</v>
      </c>
    </row>
    <row r="17" spans="2:2" x14ac:dyDescent="0.35">
      <c r="B17" s="15" t="s">
        <v>251</v>
      </c>
    </row>
    <row r="18" spans="2:2" x14ac:dyDescent="0.35">
      <c r="B18" s="15" t="s">
        <v>237</v>
      </c>
    </row>
    <row r="20" spans="2:2" ht="15" x14ac:dyDescent="0.35">
      <c r="B20" s="14" t="s">
        <v>238</v>
      </c>
    </row>
    <row r="21" spans="2:2" x14ac:dyDescent="0.35">
      <c r="B21" s="15" t="s">
        <v>252</v>
      </c>
    </row>
    <row r="22" spans="2:2" x14ac:dyDescent="0.35">
      <c r="B22" s="15" t="s">
        <v>239</v>
      </c>
    </row>
    <row r="23" spans="2:2" x14ac:dyDescent="0.35">
      <c r="B23" s="15" t="s">
        <v>253</v>
      </c>
    </row>
    <row r="25" spans="2:2" ht="15" x14ac:dyDescent="0.35">
      <c r="B25" s="16" t="s">
        <v>240</v>
      </c>
    </row>
    <row r="26" spans="2:2" x14ac:dyDescent="0.35">
      <c r="B26" s="15" t="s">
        <v>241</v>
      </c>
    </row>
    <row r="27" spans="2:2" x14ac:dyDescent="0.35">
      <c r="B27" s="15" t="s">
        <v>242</v>
      </c>
    </row>
    <row r="28" spans="2:2" x14ac:dyDescent="0.35">
      <c r="B28" s="15" t="s">
        <v>243</v>
      </c>
    </row>
    <row r="29" spans="2:2" x14ac:dyDescent="0.35">
      <c r="B29" s="15" t="s">
        <v>244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Last Nazareth</cp:lastModifiedBy>
  <cp:revision>0</cp:revision>
  <dcterms:created xsi:type="dcterms:W3CDTF">2026-08-18T18:26:39Z</dcterms:created>
  <dcterms:modified xsi:type="dcterms:W3CDTF">2026-08-18T18:35:58Z</dcterms:modified>
  <dc:language>en-US</dc:language>
</cp:coreProperties>
</file>